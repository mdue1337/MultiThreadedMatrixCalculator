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7FB945F0-B597-40AB-9588-EA4E6F72DA9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trix Benchmar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O6" i="1" s="1"/>
  <c r="L6" i="1"/>
  <c r="M6" i="1" s="1"/>
  <c r="J6" i="1"/>
  <c r="K6" i="1" s="1"/>
  <c r="H6" i="1"/>
  <c r="I6" i="1" s="1"/>
  <c r="N5" i="1"/>
  <c r="O5" i="1" s="1"/>
  <c r="L5" i="1"/>
  <c r="M5" i="1" s="1"/>
  <c r="J5" i="1"/>
  <c r="K5" i="1" s="1"/>
  <c r="H5" i="1"/>
  <c r="I5" i="1" s="1"/>
  <c r="N4" i="1"/>
  <c r="O4" i="1" s="1"/>
  <c r="L4" i="1"/>
  <c r="M4" i="1" s="1"/>
  <c r="J4" i="1"/>
  <c r="K4" i="1" s="1"/>
  <c r="H4" i="1"/>
  <c r="I4" i="1" s="1"/>
  <c r="N3" i="1"/>
  <c r="O3" i="1" s="1"/>
  <c r="L3" i="1"/>
  <c r="M3" i="1" s="1"/>
  <c r="J3" i="1"/>
  <c r="K3" i="1" s="1"/>
  <c r="H3" i="1"/>
  <c r="I3" i="1" s="1"/>
  <c r="N2" i="1"/>
  <c r="O2" i="1" s="1"/>
  <c r="L2" i="1"/>
  <c r="M2" i="1" s="1"/>
  <c r="J2" i="1"/>
  <c r="K2" i="1" s="1"/>
  <c r="H2" i="1"/>
  <c r="I2" i="1" s="1"/>
</calcChain>
</file>

<file path=xl/sharedStrings.xml><?xml version="1.0" encoding="utf-8"?>
<sst xmlns="http://schemas.openxmlformats.org/spreadsheetml/2006/main" count="25" uniqueCount="22">
  <si>
    <t>Operation</t>
  </si>
  <si>
    <t>Matrix Size</t>
  </si>
  <si>
    <t>1 Thread (s)</t>
  </si>
  <si>
    <t>4 Threads (s)</t>
  </si>
  <si>
    <t>8 Threads (s)</t>
  </si>
  <si>
    <t>12 Threads (s)</t>
  </si>
  <si>
    <t>16 Threads (s)</t>
  </si>
  <si>
    <t>Speedup 4T</t>
  </si>
  <si>
    <t>Efficiency 4T (%)</t>
  </si>
  <si>
    <t>Speedup 8T</t>
  </si>
  <si>
    <t>Efficiency 8T (%)</t>
  </si>
  <si>
    <t>Speedup 12T</t>
  </si>
  <si>
    <t>Efficiency 12T (%)</t>
  </si>
  <si>
    <t>Speedup 16T</t>
  </si>
  <si>
    <t>Efficiency 16T (%)</t>
  </si>
  <si>
    <t>Addition (+)</t>
  </si>
  <si>
    <t>5000x5000</t>
  </si>
  <si>
    <t>Subtraction (-)</t>
  </si>
  <si>
    <t>Multiplication (*)</t>
  </si>
  <si>
    <t>1000x1000</t>
  </si>
  <si>
    <t>2000x2000</t>
  </si>
  <si>
    <t>3000x3000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</si>
</sst>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F12" sqref="F12"/>
    </sheetView>
  </sheetViews>
  <sheetFormatPr defaultRowHeight="15"/>
  <cols>
    <col min="1" max="1" width="22" customWidth="1"/>
    <col min="2" max="2" width="15" customWidth="1"/>
    <col min="3" max="3" width="16" customWidth="1"/>
    <col min="4" max="5" width="17" customWidth="1"/>
    <col min="6" max="7" width="18" customWidth="1"/>
    <col min="8" max="8" width="14" customWidth="1"/>
    <col min="9" max="9" width="21" customWidth="1"/>
    <col min="10" max="10" width="14" customWidth="1"/>
    <col min="11" max="11" width="21" customWidth="1"/>
    <col min="12" max="12" width="15" customWidth="1"/>
    <col min="13" max="13" width="22" customWidth="1"/>
    <col min="14" max="14" width="15" customWidth="1"/>
    <col min="15" max="15" width="22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0.16700000000000001</v>
      </c>
      <c r="D2">
        <v>0.14499999999999999</v>
      </c>
      <c r="E2">
        <v>0.129</v>
      </c>
      <c r="F2">
        <v>0.14399999999999999</v>
      </c>
      <c r="G2">
        <v>0.126</v>
      </c>
      <c r="H2">
        <f>C2/D2</f>
        <v>1.1517241379310346</v>
      </c>
      <c r="I2">
        <f>(H2/4)*100</f>
        <v>28.793103448275865</v>
      </c>
      <c r="J2">
        <f>C2/E2</f>
        <v>1.2945736434108528</v>
      </c>
      <c r="K2">
        <f>(J2/8)*100</f>
        <v>16.18217054263566</v>
      </c>
      <c r="L2">
        <f>C2/F2</f>
        <v>1.1597222222222223</v>
      </c>
      <c r="M2">
        <f>(L2/12)*100</f>
        <v>9.664351851851853</v>
      </c>
      <c r="N2">
        <f>C2/G2</f>
        <v>1.3253968253968256</v>
      </c>
      <c r="O2">
        <f>(N2/16)*100</f>
        <v>8.2837301587301599</v>
      </c>
    </row>
    <row r="3" spans="1:15">
      <c r="A3" t="s">
        <v>17</v>
      </c>
      <c r="B3" t="s">
        <v>16</v>
      </c>
      <c r="C3">
        <v>0.152</v>
      </c>
      <c r="D3">
        <v>0.13200000000000001</v>
      </c>
      <c r="E3">
        <v>0.124</v>
      </c>
      <c r="F3">
        <v>0.13700000000000001</v>
      </c>
      <c r="G3">
        <v>0.122</v>
      </c>
      <c r="H3">
        <f>C3/D3</f>
        <v>1.1515151515151514</v>
      </c>
      <c r="I3">
        <f>(H3/4)*100</f>
        <v>28.787878787878785</v>
      </c>
      <c r="J3">
        <f>C3/E3</f>
        <v>1.2258064516129032</v>
      </c>
      <c r="K3">
        <f>(J3/8)*100</f>
        <v>15.32258064516129</v>
      </c>
      <c r="L3">
        <f>C3/F3</f>
        <v>1.1094890510948905</v>
      </c>
      <c r="M3">
        <f>(L3/12)*100</f>
        <v>9.2457420924574212</v>
      </c>
      <c r="N3">
        <f>C3/G3</f>
        <v>1.2459016393442623</v>
      </c>
      <c r="O3">
        <f>(N3/16)*100</f>
        <v>7.7868852459016393</v>
      </c>
    </row>
    <row r="4" spans="1:15">
      <c r="A4" t="s">
        <v>18</v>
      </c>
      <c r="B4" t="s">
        <v>19</v>
      </c>
      <c r="C4">
        <v>0.57499999999999996</v>
      </c>
      <c r="D4">
        <v>0.184</v>
      </c>
      <c r="E4">
        <v>0.13500000000000001</v>
      </c>
      <c r="F4">
        <v>0.128</v>
      </c>
      <c r="G4">
        <v>0.13</v>
      </c>
      <c r="H4">
        <f>C4/D4</f>
        <v>3.125</v>
      </c>
      <c r="I4">
        <f>(H4/4)*100</f>
        <v>78.125</v>
      </c>
      <c r="J4">
        <f>C4/E4</f>
        <v>4.2592592592592586</v>
      </c>
      <c r="K4">
        <f>(J4/8)*100</f>
        <v>53.240740740740733</v>
      </c>
      <c r="L4">
        <f>C4/F4</f>
        <v>4.4921875</v>
      </c>
      <c r="M4">
        <f>(L4/12)*100</f>
        <v>37.434895833333329</v>
      </c>
      <c r="N4">
        <f>C4/G4</f>
        <v>4.4230769230769225</v>
      </c>
      <c r="O4">
        <f>(N4/16)*100</f>
        <v>27.644230769230766</v>
      </c>
    </row>
    <row r="5" spans="1:15">
      <c r="A5" t="s">
        <v>18</v>
      </c>
      <c r="B5" t="s">
        <v>20</v>
      </c>
      <c r="C5">
        <v>6.7359999999999998</v>
      </c>
      <c r="D5">
        <v>1.9530000000000001</v>
      </c>
      <c r="E5">
        <v>1.1080000000000001</v>
      </c>
      <c r="F5">
        <v>1.1499999999999999</v>
      </c>
      <c r="G5">
        <v>1.161</v>
      </c>
      <c r="H5">
        <f>C5/D5</f>
        <v>3.4490527393753196</v>
      </c>
      <c r="I5">
        <f>(H5/4)*100</f>
        <v>86.226318484382986</v>
      </c>
      <c r="J5">
        <f>C5/E5</f>
        <v>6.0794223826714795</v>
      </c>
      <c r="K5">
        <f>(J5/8)*100</f>
        <v>75.992779783393487</v>
      </c>
      <c r="L5">
        <f>C5/F5</f>
        <v>5.8573913043478267</v>
      </c>
      <c r="M5">
        <f>(L5/12)*100</f>
        <v>48.811594202898554</v>
      </c>
      <c r="N5">
        <f>C5/G5</f>
        <v>5.8018949181739874</v>
      </c>
      <c r="O5">
        <f>(N5/16)*100</f>
        <v>36.261843238587424</v>
      </c>
    </row>
    <row r="6" spans="1:15">
      <c r="A6" t="s">
        <v>18</v>
      </c>
      <c r="B6" t="s">
        <v>21</v>
      </c>
      <c r="C6">
        <v>50.423999999999999</v>
      </c>
      <c r="D6">
        <v>13.34</v>
      </c>
      <c r="E6">
        <v>7.3319999999999999</v>
      </c>
      <c r="F6">
        <v>6.6159999999999997</v>
      </c>
      <c r="G6">
        <v>6.4059999999999997</v>
      </c>
      <c r="H6">
        <f>C6/D6</f>
        <v>3.7799100449775112</v>
      </c>
      <c r="I6">
        <f>(H6/4)*100</f>
        <v>94.497751124437784</v>
      </c>
      <c r="J6">
        <f>C6/E6</f>
        <v>6.8772504091653026</v>
      </c>
      <c r="K6">
        <f>(J6/8)*100</f>
        <v>85.965630114566281</v>
      </c>
      <c r="L6">
        <f>C6/F6</f>
        <v>7.6215235792019351</v>
      </c>
      <c r="M6">
        <f>(L6/12)*100</f>
        <v>63.512696493349466</v>
      </c>
      <c r="N6">
        <f>C6/G6</f>
        <v>7.8713705900718081</v>
      </c>
      <c r="O6">
        <f>(N6/16)*100</f>
        <v>49.196066187948801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2026-05-12T20:06:52Z</dcterms:created>
  <dcterms:modified xsi:type="dcterms:W3CDTF">2026-05-12T20:46:58Z</dcterms:modified>
  <cp:category/>
  <cp:contentStatus/>
</cp:coreProperties>
</file>